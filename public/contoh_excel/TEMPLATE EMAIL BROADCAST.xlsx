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0160593\Downloads\"/>
    </mc:Choice>
  </mc:AlternateContent>
  <bookViews>
    <workbookView xWindow="0" yWindow="0" windowWidth="19200" windowHeight="7440" tabRatio="500"/>
  </bookViews>
  <sheets>
    <sheet name="Sheet1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Q25" i="2" l="1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9" i="2"/>
  <c r="Q8" i="2"/>
  <c r="Q7" i="2"/>
  <c r="Q6" i="2"/>
  <c r="Q5" i="2"/>
  <c r="Q4" i="2"/>
  <c r="Q3" i="2"/>
  <c r="Q2" i="2"/>
  <c r="Q10" i="2"/>
</calcChain>
</file>

<file path=xl/sharedStrings.xml><?xml version="1.0" encoding="utf-8"?>
<sst xmlns="http://schemas.openxmlformats.org/spreadsheetml/2006/main" count="286" uniqueCount="154">
  <si>
    <t>Nama</t>
  </si>
  <si>
    <t>Email</t>
  </si>
  <si>
    <t>Urutan</t>
  </si>
  <si>
    <t>Rincian 1</t>
  </si>
  <si>
    <t>Nominal 1</t>
  </si>
  <si>
    <t>Rincian 2</t>
  </si>
  <si>
    <t>Nominal 2</t>
  </si>
  <si>
    <t>Rincian 3</t>
  </si>
  <si>
    <t>Nominal 3</t>
  </si>
  <si>
    <t>Rincian 4</t>
  </si>
  <si>
    <t>Nominal 4</t>
  </si>
  <si>
    <t>Attribute 3</t>
  </si>
  <si>
    <t>Attribute 4</t>
  </si>
  <si>
    <t>Attribute 5</t>
  </si>
  <si>
    <t>Total Nominal</t>
  </si>
  <si>
    <t>Telepon</t>
  </si>
  <si>
    <t>Attribute 1</t>
  </si>
  <si>
    <t>Attribute 2</t>
  </si>
  <si>
    <t>SMK</t>
  </si>
  <si>
    <t>Rincian 5</t>
  </si>
  <si>
    <t>Nominal 5</t>
  </si>
  <si>
    <t>Rincian 6</t>
  </si>
  <si>
    <t>Nominal 6</t>
  </si>
  <si>
    <t>Rincian 7</t>
  </si>
  <si>
    <t>Nominal 7</t>
  </si>
  <si>
    <t>Rincian 8</t>
  </si>
  <si>
    <t>Nominal 8</t>
  </si>
  <si>
    <t>Rincian 9</t>
  </si>
  <si>
    <t>Nominal 9</t>
  </si>
  <si>
    <t>Rincian 10</t>
  </si>
  <si>
    <t>Nominal 10</t>
  </si>
  <si>
    <t>Rincian 11</t>
  </si>
  <si>
    <t>Nominal 11</t>
  </si>
  <si>
    <t>Rincian 12</t>
  </si>
  <si>
    <t>Nominal 12</t>
  </si>
  <si>
    <t>Rincian 13</t>
  </si>
  <si>
    <t>Nominal 13</t>
  </si>
  <si>
    <t>Rincian 14</t>
  </si>
  <si>
    <t>Nominal 14</t>
  </si>
  <si>
    <t>Rincian 15</t>
  </si>
  <si>
    <t>Nominal 15</t>
  </si>
  <si>
    <t>Rincian 16</t>
  </si>
  <si>
    <t>Nominal 16</t>
  </si>
  <si>
    <t>Rincian 17</t>
  </si>
  <si>
    <t>Nominal 17</t>
  </si>
  <si>
    <t>Rincian 18</t>
  </si>
  <si>
    <t>Nominal 18</t>
  </si>
  <si>
    <t>Rincian 19</t>
  </si>
  <si>
    <t>Nominal 19</t>
  </si>
  <si>
    <t>Rincian 20</t>
  </si>
  <si>
    <t>Nominal 20</t>
  </si>
  <si>
    <t>Rincian 21</t>
  </si>
  <si>
    <t>Nominal 21</t>
  </si>
  <si>
    <t>Rincian 22</t>
  </si>
  <si>
    <t>Nominal 22</t>
  </si>
  <si>
    <t>Rincian 23</t>
  </si>
  <si>
    <t>Nominal 23</t>
  </si>
  <si>
    <t>Rincian 24</t>
  </si>
  <si>
    <t>Nominal 24</t>
  </si>
  <si>
    <t>Rincian 25</t>
  </si>
  <si>
    <t>Nominal 25</t>
  </si>
  <si>
    <t>Nomor Pembayaran</t>
  </si>
  <si>
    <t>Tanggal Aktif</t>
  </si>
  <si>
    <t>Tanggal Berakhir</t>
  </si>
  <si>
    <t>Jenis Tagihan</t>
  </si>
  <si>
    <t>Nomor Tagihan</t>
  </si>
  <si>
    <t>SD</t>
  </si>
  <si>
    <t>SMP</t>
  </si>
  <si>
    <t>KLS 2</t>
  </si>
  <si>
    <t>KLS 9</t>
  </si>
  <si>
    <t>2024-25</t>
  </si>
  <si>
    <t>SPP JUNI 2025</t>
  </si>
  <si>
    <t>INV2025-SD-KLS2-001</t>
  </si>
  <si>
    <t>INV2025-SD-KLS2-002</t>
  </si>
  <si>
    <t>INV2025-SMP-KLS9-001</t>
  </si>
  <si>
    <t>INV2025-SMP-KLS9-002</t>
  </si>
  <si>
    <t>INV2025-SMK-TKJ-KLS11-002</t>
  </si>
  <si>
    <t>INV2025-SMK-TKJ-KLS11-001</t>
  </si>
  <si>
    <t>INV2025-SMK-AK-KLS11-001</t>
  </si>
  <si>
    <t>INV2025-SMK-AK-KLS11-002</t>
  </si>
  <si>
    <t>KLS 11</t>
  </si>
  <si>
    <t>TKJ A</t>
  </si>
  <si>
    <t>TKJ B</t>
  </si>
  <si>
    <t>AKUNTANSI - A</t>
  </si>
  <si>
    <t>AKUNTANSI - B</t>
  </si>
  <si>
    <t>111201</t>
  </si>
  <si>
    <t>111202</t>
  </si>
  <si>
    <t>121301</t>
  </si>
  <si>
    <t>121302</t>
  </si>
  <si>
    <t>131401</t>
  </si>
  <si>
    <t>131402</t>
  </si>
  <si>
    <t>141501</t>
  </si>
  <si>
    <t>141502</t>
  </si>
  <si>
    <t>Aina Izzatunnisa</t>
  </si>
  <si>
    <t>Ali Imran Yusuf</t>
  </si>
  <si>
    <t>Amira Qisthi Assalimah</t>
  </si>
  <si>
    <t>Muhammad Itsar Al Ziyad</t>
  </si>
  <si>
    <t>Nacita Labibah Taqiyyah</t>
  </si>
  <si>
    <t>Rafailah Gita Saidah</t>
  </si>
  <si>
    <t>Muhammad Ali Rhasyeed Al-ghassan</t>
  </si>
  <si>
    <t>Andi Edega Gaudencio Asravi</t>
  </si>
  <si>
    <t>Atharrazka Keenandra</t>
  </si>
  <si>
    <t>Azalea Shabira Annasya</t>
  </si>
  <si>
    <t>A</t>
  </si>
  <si>
    <t>B</t>
  </si>
  <si>
    <t>151601</t>
  </si>
  <si>
    <t>151602</t>
  </si>
  <si>
    <t>S1</t>
  </si>
  <si>
    <t>ILMU KOMPUTER</t>
  </si>
  <si>
    <t>REGULER</t>
  </si>
  <si>
    <t>KARYAWAN</t>
  </si>
  <si>
    <t>SPP SEMESTER 3</t>
  </si>
  <si>
    <t>PERPUS</t>
  </si>
  <si>
    <t>noreplay@gmail.com</t>
  </si>
  <si>
    <t>999901</t>
  </si>
  <si>
    <t>Ubaidillah Ismail</t>
  </si>
  <si>
    <t>6285011111111</t>
  </si>
  <si>
    <t>SISTEM INFROMASI</t>
  </si>
  <si>
    <t>SPP SEMESTER 4</t>
  </si>
  <si>
    <t>LAB KOM</t>
  </si>
  <si>
    <t>INV2025-S1-FKOM-IL-001</t>
  </si>
  <si>
    <t>FAK ILMU KOMPUTER</t>
  </si>
  <si>
    <t>TEKNIK INFORMATIKA</t>
  </si>
  <si>
    <t>INV2025-S1-FKOM-TI-001</t>
  </si>
  <si>
    <t>INV2025-S1-FKOM-SI-001</t>
  </si>
  <si>
    <t>INV2025-S1-FKOM-SI-002</t>
  </si>
  <si>
    <t>111101</t>
  </si>
  <si>
    <t>KLS 7</t>
  </si>
  <si>
    <t>INV2025-MTS-KLS7-001</t>
  </si>
  <si>
    <t>INV2025-MTS-KLS7-002</t>
  </si>
  <si>
    <t>INV2025-MTS-KLS7-003</t>
  </si>
  <si>
    <t>INV2025-MTS-KLS7-004</t>
  </si>
  <si>
    <t>INV2025-MTS-KLS7-005</t>
  </si>
  <si>
    <t>INV2025-MTS-KLS7-006</t>
  </si>
  <si>
    <t>ABDULLOH</t>
  </si>
  <si>
    <t>SPP JULI 2025</t>
  </si>
  <si>
    <t>SPP AGUSTUS 2025</t>
  </si>
  <si>
    <t>SPP SEPTEMBER 2025</t>
  </si>
  <si>
    <t>SPP OKTOBER 2025</t>
  </si>
  <si>
    <t>MTS</t>
  </si>
  <si>
    <t>INV2025-MA-KLS12-001</t>
  </si>
  <si>
    <t>INV2025-MA-KLS12-002</t>
  </si>
  <si>
    <t>INV2025-MA-KLS12-003</t>
  </si>
  <si>
    <t>INV2025-MA-KLS12-004</t>
  </si>
  <si>
    <t>INV2025-MA-KLS12-005</t>
  </si>
  <si>
    <t>INV2025-MA-KLS12-006</t>
  </si>
  <si>
    <t>Zulfikar Baharudin</t>
  </si>
  <si>
    <t>M Rachman Ariyanto</t>
  </si>
  <si>
    <t>KLS 12</t>
  </si>
  <si>
    <t>MA</t>
  </si>
  <si>
    <t>SPP NOVEMBER 2025</t>
  </si>
  <si>
    <t>Ciclan Uang Pangkal</t>
  </si>
  <si>
    <t>Total Uang Pangkal</t>
  </si>
  <si>
    <t>Outstanding Uang Pangkal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</si>
</sst>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oreplay@gmail.com" TargetMode="External"/><Relationship Id="rId1" Type="http://schemas.openxmlformats.org/officeDocument/2006/relationships/hyperlink" Target="mailto:norepl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5"/>
  <sheetViews>
    <sheetView tabSelected="1" topLeftCell="L1" workbookViewId="0">
      <selection activeCell="O27" sqref="O27"/>
    </sheetView>
  </sheetViews>
  <sheetFormatPr defaultColWidth="18.7265625" defaultRowHeight="12.5" x14ac:dyDescent="0.25"/>
  <cols>
    <col min="1" max="1" width="28.26953125" bestFit="1" customWidth="1"/>
    <col min="2" max="2" width="16.81640625" style="3" bestFit="1" customWidth="1"/>
    <col min="3" max="3" width="31.7265625" bestFit="1" customWidth="1"/>
    <col min="4" max="4" width="19.54296875" bestFit="1" customWidth="1"/>
    <col min="5" max="5" width="15.7265625" style="3" customWidth="1"/>
    <col min="6" max="7" width="18.26953125" style="6" bestFit="1" customWidth="1"/>
    <col min="8" max="8" width="15.7265625" customWidth="1"/>
    <col min="9" max="9" width="15.7265625" style="5" customWidth="1"/>
    <col min="10" max="10" width="20.81640625" bestFit="1" customWidth="1"/>
    <col min="11" max="11" width="15.7265625" customWidth="1"/>
    <col min="12" max="12" width="20.81640625" bestFit="1" customWidth="1"/>
    <col min="13" max="13" width="15.7265625" customWidth="1"/>
    <col min="14" max="14" width="15.7265625" style="9" customWidth="1"/>
    <col min="15" max="15" width="16.6328125" style="9" customWidth="1"/>
    <col min="16" max="16" width="22.1796875" style="9" bestFit="1" customWidth="1"/>
    <col min="17" max="18" width="15.7265625" customWidth="1"/>
    <col min="19" max="19" width="18.90625" customWidth="1"/>
    <col min="20" max="20" width="22" bestFit="1" customWidth="1"/>
    <col min="21" max="69" width="15.7265625" customWidth="1"/>
  </cols>
  <sheetData>
    <row r="1" spans="1:69" x14ac:dyDescent="0.25">
      <c r="A1" t="s">
        <v>65</v>
      </c>
      <c r="B1" s="2" t="s">
        <v>61</v>
      </c>
      <c r="C1" s="1" t="s">
        <v>0</v>
      </c>
      <c r="D1" t="s">
        <v>1</v>
      </c>
      <c r="E1" s="3" t="s">
        <v>15</v>
      </c>
      <c r="F1" s="6" t="s">
        <v>62</v>
      </c>
      <c r="G1" s="6" t="s">
        <v>63</v>
      </c>
      <c r="H1" s="1" t="s">
        <v>2</v>
      </c>
      <c r="I1" s="4" t="s">
        <v>64</v>
      </c>
      <c r="J1" t="s">
        <v>16</v>
      </c>
      <c r="K1" t="s">
        <v>17</v>
      </c>
      <c r="L1" t="s">
        <v>11</v>
      </c>
      <c r="M1" t="s">
        <v>12</v>
      </c>
      <c r="N1" t="s">
        <v>13</v>
      </c>
      <c r="O1" s="10" t="s">
        <v>152</v>
      </c>
      <c r="P1" s="10" t="s">
        <v>153</v>
      </c>
      <c r="Q1" s="1" t="s">
        <v>14</v>
      </c>
      <c r="R1" s="1"/>
      <c r="S1" s="10" t="s">
        <v>151</v>
      </c>
      <c r="T1" s="1" t="s">
        <v>3</v>
      </c>
      <c r="U1" s="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</row>
    <row r="2" spans="1:69" x14ac:dyDescent="0.25">
      <c r="A2" t="s">
        <v>72</v>
      </c>
      <c r="B2" s="3" t="s">
        <v>85</v>
      </c>
      <c r="C2" t="s">
        <v>93</v>
      </c>
      <c r="H2" s="8">
        <v>1</v>
      </c>
      <c r="I2" s="5">
        <v>0</v>
      </c>
      <c r="J2" t="s">
        <v>66</v>
      </c>
      <c r="K2" t="s">
        <v>68</v>
      </c>
      <c r="L2" t="s">
        <v>103</v>
      </c>
      <c r="N2" s="9" t="s">
        <v>70</v>
      </c>
      <c r="O2" s="9">
        <v>20000000</v>
      </c>
      <c r="P2" s="9">
        <v>12500000</v>
      </c>
      <c r="Q2">
        <f t="shared" ref="Q2:Q25" si="0">U2+W2+Y2+AA2+AC2+AE2+AG2+AI2+AK2+AM2+AO2+AQ2+AS2+AU2+AW2+AY2+BA2+BC2+BE2+BG2+BI2+BK2+BM2+BO2+BQ2+S2</f>
        <v>1650000</v>
      </c>
      <c r="S2">
        <v>1500000</v>
      </c>
      <c r="T2" t="s">
        <v>71</v>
      </c>
      <c r="U2">
        <v>150000</v>
      </c>
    </row>
    <row r="3" spans="1:69" x14ac:dyDescent="0.25">
      <c r="A3" t="s">
        <v>73</v>
      </c>
      <c r="B3" s="3" t="s">
        <v>86</v>
      </c>
      <c r="C3" t="s">
        <v>94</v>
      </c>
      <c r="H3" s="8">
        <v>1</v>
      </c>
      <c r="I3" s="5">
        <v>0</v>
      </c>
      <c r="J3" t="s">
        <v>66</v>
      </c>
      <c r="K3" t="s">
        <v>68</v>
      </c>
      <c r="L3" t="s">
        <v>104</v>
      </c>
      <c r="N3" s="9" t="s">
        <v>70</v>
      </c>
      <c r="O3" s="9">
        <v>20000000</v>
      </c>
      <c r="P3" s="9">
        <v>12500000</v>
      </c>
      <c r="Q3">
        <f t="shared" si="0"/>
        <v>1650000</v>
      </c>
      <c r="S3">
        <v>1500000</v>
      </c>
      <c r="T3" t="s">
        <v>71</v>
      </c>
      <c r="U3">
        <v>150000</v>
      </c>
    </row>
    <row r="4" spans="1:69" x14ac:dyDescent="0.25">
      <c r="A4" t="s">
        <v>74</v>
      </c>
      <c r="B4" s="3" t="s">
        <v>87</v>
      </c>
      <c r="C4" t="s">
        <v>95</v>
      </c>
      <c r="F4" s="6">
        <v>45809.333333333336</v>
      </c>
      <c r="G4" s="6">
        <v>46174.708333333336</v>
      </c>
      <c r="H4" s="8">
        <v>1</v>
      </c>
      <c r="I4" s="5">
        <v>0</v>
      </c>
      <c r="J4" t="s">
        <v>67</v>
      </c>
      <c r="K4" t="s">
        <v>69</v>
      </c>
      <c r="L4" t="s">
        <v>103</v>
      </c>
      <c r="N4" s="9" t="s">
        <v>70</v>
      </c>
      <c r="O4" s="9">
        <v>20000000</v>
      </c>
      <c r="P4" s="9">
        <v>12500000</v>
      </c>
      <c r="Q4">
        <f t="shared" si="0"/>
        <v>1650000</v>
      </c>
      <c r="S4">
        <v>1500000</v>
      </c>
      <c r="T4" t="s">
        <v>71</v>
      </c>
      <c r="U4">
        <v>150000</v>
      </c>
    </row>
    <row r="5" spans="1:69" x14ac:dyDescent="0.25">
      <c r="A5" t="s">
        <v>75</v>
      </c>
      <c r="B5" s="3" t="s">
        <v>88</v>
      </c>
      <c r="C5" t="s">
        <v>100</v>
      </c>
      <c r="F5" s="6">
        <v>45809.333333333336</v>
      </c>
      <c r="G5" s="6">
        <v>46174.708333333336</v>
      </c>
      <c r="H5" s="8">
        <v>1</v>
      </c>
      <c r="I5" s="5">
        <v>0</v>
      </c>
      <c r="J5" t="s">
        <v>67</v>
      </c>
      <c r="K5" t="s">
        <v>69</v>
      </c>
      <c r="L5" t="s">
        <v>104</v>
      </c>
      <c r="N5" s="9" t="s">
        <v>70</v>
      </c>
      <c r="O5" s="9">
        <v>20000000</v>
      </c>
      <c r="P5" s="9">
        <v>12500000</v>
      </c>
      <c r="Q5">
        <f t="shared" si="0"/>
        <v>1650000</v>
      </c>
      <c r="S5">
        <v>1500000</v>
      </c>
      <c r="T5" t="s">
        <v>71</v>
      </c>
      <c r="U5">
        <v>150000</v>
      </c>
    </row>
    <row r="6" spans="1:69" x14ac:dyDescent="0.25">
      <c r="A6" t="s">
        <v>77</v>
      </c>
      <c r="B6" s="3" t="s">
        <v>89</v>
      </c>
      <c r="C6" t="s">
        <v>101</v>
      </c>
      <c r="H6" s="8">
        <v>1</v>
      </c>
      <c r="I6" s="5">
        <v>0</v>
      </c>
      <c r="J6" t="s">
        <v>18</v>
      </c>
      <c r="K6" t="s">
        <v>80</v>
      </c>
      <c r="L6" t="s">
        <v>81</v>
      </c>
      <c r="N6" s="9" t="s">
        <v>70</v>
      </c>
      <c r="O6" s="9">
        <v>20000000</v>
      </c>
      <c r="P6" s="9">
        <v>12500000</v>
      </c>
      <c r="Q6">
        <f t="shared" si="0"/>
        <v>1650000</v>
      </c>
      <c r="S6">
        <v>1500000</v>
      </c>
      <c r="T6" t="s">
        <v>71</v>
      </c>
      <c r="U6">
        <v>150000</v>
      </c>
    </row>
    <row r="7" spans="1:69" x14ac:dyDescent="0.25">
      <c r="A7" t="s">
        <v>76</v>
      </c>
      <c r="B7" s="3" t="s">
        <v>90</v>
      </c>
      <c r="C7" t="s">
        <v>102</v>
      </c>
      <c r="H7" s="8">
        <v>1</v>
      </c>
      <c r="I7" s="5">
        <v>0</v>
      </c>
      <c r="J7" t="s">
        <v>18</v>
      </c>
      <c r="K7" t="s">
        <v>80</v>
      </c>
      <c r="L7" t="s">
        <v>82</v>
      </c>
      <c r="N7" s="9" t="s">
        <v>70</v>
      </c>
      <c r="O7" s="9">
        <v>20000000</v>
      </c>
      <c r="P7" s="9">
        <v>12500000</v>
      </c>
      <c r="Q7">
        <f t="shared" si="0"/>
        <v>1650000</v>
      </c>
      <c r="S7">
        <v>1500000</v>
      </c>
      <c r="T7" t="s">
        <v>71</v>
      </c>
      <c r="U7">
        <v>150000</v>
      </c>
    </row>
    <row r="8" spans="1:69" x14ac:dyDescent="0.25">
      <c r="A8" t="s">
        <v>78</v>
      </c>
      <c r="B8" s="3" t="s">
        <v>91</v>
      </c>
      <c r="C8" t="s">
        <v>99</v>
      </c>
      <c r="D8" s="7" t="s">
        <v>113</v>
      </c>
      <c r="H8" s="8">
        <v>1</v>
      </c>
      <c r="I8" s="5">
        <v>0</v>
      </c>
      <c r="J8" t="s">
        <v>18</v>
      </c>
      <c r="K8" t="s">
        <v>80</v>
      </c>
      <c r="L8" t="s">
        <v>83</v>
      </c>
      <c r="N8" s="9" t="s">
        <v>70</v>
      </c>
      <c r="O8" s="9">
        <v>20000000</v>
      </c>
      <c r="P8" s="9">
        <v>12500000</v>
      </c>
      <c r="Q8">
        <f t="shared" si="0"/>
        <v>1650000</v>
      </c>
      <c r="S8">
        <v>1500000</v>
      </c>
      <c r="T8" t="s">
        <v>71</v>
      </c>
      <c r="U8">
        <v>150000</v>
      </c>
    </row>
    <row r="9" spans="1:69" x14ac:dyDescent="0.25">
      <c r="A9" t="s">
        <v>79</v>
      </c>
      <c r="B9" s="3" t="s">
        <v>92</v>
      </c>
      <c r="C9" t="s">
        <v>96</v>
      </c>
      <c r="D9" s="7" t="s">
        <v>113</v>
      </c>
      <c r="H9" s="8">
        <v>1</v>
      </c>
      <c r="I9" s="5">
        <v>0</v>
      </c>
      <c r="J9" t="s">
        <v>18</v>
      </c>
      <c r="K9" t="s">
        <v>80</v>
      </c>
      <c r="L9" t="s">
        <v>84</v>
      </c>
      <c r="N9" s="9" t="s">
        <v>70</v>
      </c>
      <c r="O9" s="9">
        <v>20000000</v>
      </c>
      <c r="P9" s="9">
        <v>12500000</v>
      </c>
      <c r="Q9">
        <f t="shared" si="0"/>
        <v>1650000</v>
      </c>
      <c r="S9">
        <v>1500000</v>
      </c>
      <c r="T9" t="s">
        <v>71</v>
      </c>
      <c r="U9">
        <v>150000</v>
      </c>
    </row>
    <row r="10" spans="1:69" x14ac:dyDescent="0.25">
      <c r="A10" t="s">
        <v>120</v>
      </c>
      <c r="B10" s="3" t="s">
        <v>105</v>
      </c>
      <c r="C10" t="s">
        <v>97</v>
      </c>
      <c r="D10" s="7"/>
      <c r="E10" s="3" t="s">
        <v>116</v>
      </c>
      <c r="H10" s="8">
        <v>1</v>
      </c>
      <c r="I10" s="5">
        <v>0</v>
      </c>
      <c r="J10" t="s">
        <v>121</v>
      </c>
      <c r="K10" t="s">
        <v>107</v>
      </c>
      <c r="L10" t="s">
        <v>108</v>
      </c>
      <c r="M10" t="s">
        <v>109</v>
      </c>
      <c r="N10" s="9" t="s">
        <v>70</v>
      </c>
      <c r="O10" s="9">
        <v>20000000</v>
      </c>
      <c r="P10" s="9">
        <v>12500000</v>
      </c>
      <c r="Q10">
        <f>U10+W10+Y10+AA10+AC10+AE10+AG10+AI10+AK10+AM10+AO10+AQ10+AS10+AU10+AW10+AY10+BA10+BC10+BE10+BG10+BI10+BK10+BM10+BO10+BQ10+S10</f>
        <v>4650000</v>
      </c>
      <c r="S10">
        <v>1500000</v>
      </c>
      <c r="T10" t="s">
        <v>111</v>
      </c>
      <c r="U10">
        <v>2500000</v>
      </c>
      <c r="V10" t="s">
        <v>119</v>
      </c>
      <c r="W10">
        <v>500000</v>
      </c>
      <c r="X10" t="s">
        <v>112</v>
      </c>
      <c r="Y10">
        <v>150000</v>
      </c>
    </row>
    <row r="11" spans="1:69" x14ac:dyDescent="0.25">
      <c r="A11" t="s">
        <v>123</v>
      </c>
      <c r="B11" s="3" t="s">
        <v>106</v>
      </c>
      <c r="C11" t="s">
        <v>98</v>
      </c>
      <c r="D11" s="7"/>
      <c r="E11" s="3" t="s">
        <v>116</v>
      </c>
      <c r="H11" s="8">
        <v>1</v>
      </c>
      <c r="I11" s="5">
        <v>0</v>
      </c>
      <c r="J11" t="s">
        <v>121</v>
      </c>
      <c r="K11" t="s">
        <v>107</v>
      </c>
      <c r="L11" t="s">
        <v>122</v>
      </c>
      <c r="M11" t="s">
        <v>110</v>
      </c>
      <c r="N11" s="9" t="s">
        <v>70</v>
      </c>
      <c r="O11" s="9">
        <v>20000000</v>
      </c>
      <c r="P11" s="9">
        <v>12500000</v>
      </c>
      <c r="Q11">
        <f t="shared" ref="Q11:Q25" si="1">U11+W11+Y11+AA11+AC11+AE11+AG11+AI11+AK11+AM11+AO11+AQ11+AS11+AU11+AW11+AY11+BA11+BC11+BE11+BG11+BI11+BK11+BM11+BO11+BQ11+S11</f>
        <v>4650000</v>
      </c>
      <c r="S11">
        <v>1500000</v>
      </c>
      <c r="T11" t="s">
        <v>111</v>
      </c>
      <c r="U11">
        <v>2500000</v>
      </c>
      <c r="V11" t="s">
        <v>119</v>
      </c>
      <c r="W11">
        <v>500000</v>
      </c>
      <c r="X11" t="s">
        <v>112</v>
      </c>
      <c r="Y11">
        <v>150000</v>
      </c>
    </row>
    <row r="12" spans="1:69" x14ac:dyDescent="0.25">
      <c r="A12" t="s">
        <v>124</v>
      </c>
      <c r="B12" s="3" t="s">
        <v>114</v>
      </c>
      <c r="C12" t="s">
        <v>115</v>
      </c>
      <c r="D12" s="7"/>
      <c r="H12" s="8">
        <v>1</v>
      </c>
      <c r="I12" s="5">
        <v>0</v>
      </c>
      <c r="J12" t="s">
        <v>121</v>
      </c>
      <c r="K12" t="s">
        <v>107</v>
      </c>
      <c r="L12" t="s">
        <v>117</v>
      </c>
      <c r="M12" t="s">
        <v>109</v>
      </c>
      <c r="N12" s="9" t="s">
        <v>70</v>
      </c>
      <c r="O12" s="9">
        <v>20000000</v>
      </c>
      <c r="P12" s="9">
        <v>12500000</v>
      </c>
      <c r="Q12">
        <f t="shared" si="1"/>
        <v>4500000</v>
      </c>
      <c r="S12">
        <v>1500000</v>
      </c>
      <c r="T12" t="s">
        <v>111</v>
      </c>
      <c r="U12">
        <v>2500000</v>
      </c>
      <c r="V12" t="s">
        <v>119</v>
      </c>
      <c r="W12">
        <v>500000</v>
      </c>
    </row>
    <row r="13" spans="1:69" x14ac:dyDescent="0.25">
      <c r="A13" t="s">
        <v>125</v>
      </c>
      <c r="B13" s="3" t="s">
        <v>114</v>
      </c>
      <c r="C13" t="s">
        <v>115</v>
      </c>
      <c r="D13" s="7"/>
      <c r="H13" s="8">
        <v>2</v>
      </c>
      <c r="I13" s="5">
        <v>0</v>
      </c>
      <c r="J13" t="s">
        <v>121</v>
      </c>
      <c r="K13" t="s">
        <v>107</v>
      </c>
      <c r="L13" t="s">
        <v>117</v>
      </c>
      <c r="M13" t="s">
        <v>109</v>
      </c>
      <c r="N13" s="9" t="s">
        <v>70</v>
      </c>
      <c r="O13" s="9">
        <v>20000000</v>
      </c>
      <c r="P13" s="9">
        <v>12500000</v>
      </c>
      <c r="Q13">
        <f t="shared" si="1"/>
        <v>4500000</v>
      </c>
      <c r="S13">
        <v>1500000</v>
      </c>
      <c r="T13" t="s">
        <v>118</v>
      </c>
      <c r="U13">
        <v>2500000</v>
      </c>
      <c r="V13" t="s">
        <v>119</v>
      </c>
      <c r="W13">
        <v>500000</v>
      </c>
    </row>
    <row r="14" spans="1:69" x14ac:dyDescent="0.25">
      <c r="A14" t="s">
        <v>128</v>
      </c>
      <c r="B14" s="3" t="s">
        <v>126</v>
      </c>
      <c r="C14" t="s">
        <v>146</v>
      </c>
      <c r="D14" s="7" t="s">
        <v>113</v>
      </c>
      <c r="H14" s="8">
        <v>1</v>
      </c>
      <c r="I14" s="5">
        <v>0</v>
      </c>
      <c r="J14" t="s">
        <v>139</v>
      </c>
      <c r="K14" t="s">
        <v>127</v>
      </c>
      <c r="L14" t="s">
        <v>134</v>
      </c>
      <c r="N14" s="9" t="s">
        <v>70</v>
      </c>
      <c r="O14" s="9">
        <v>20000000</v>
      </c>
      <c r="P14" s="9">
        <v>12500000</v>
      </c>
      <c r="Q14">
        <f t="shared" si="1"/>
        <v>1800000</v>
      </c>
      <c r="S14">
        <v>1500000</v>
      </c>
      <c r="T14" t="s">
        <v>71</v>
      </c>
      <c r="U14">
        <v>300000</v>
      </c>
    </row>
    <row r="15" spans="1:69" x14ac:dyDescent="0.25">
      <c r="A15" t="s">
        <v>129</v>
      </c>
      <c r="B15" s="3" t="s">
        <v>126</v>
      </c>
      <c r="C15" t="s">
        <v>146</v>
      </c>
      <c r="D15" s="7" t="s">
        <v>113</v>
      </c>
      <c r="H15" s="8">
        <v>2</v>
      </c>
      <c r="I15" s="5">
        <v>0</v>
      </c>
      <c r="J15" t="s">
        <v>139</v>
      </c>
      <c r="K15" t="s">
        <v>127</v>
      </c>
      <c r="L15" t="s">
        <v>134</v>
      </c>
      <c r="N15" s="9" t="s">
        <v>70</v>
      </c>
      <c r="O15" s="9">
        <v>20000000</v>
      </c>
      <c r="P15" s="9">
        <v>12500000</v>
      </c>
      <c r="Q15">
        <f t="shared" si="1"/>
        <v>1800000</v>
      </c>
      <c r="S15">
        <v>1500000</v>
      </c>
      <c r="T15" t="s">
        <v>135</v>
      </c>
      <c r="U15">
        <v>300000</v>
      </c>
    </row>
    <row r="16" spans="1:69" x14ac:dyDescent="0.25">
      <c r="A16" t="s">
        <v>130</v>
      </c>
      <c r="B16" s="3" t="s">
        <v>126</v>
      </c>
      <c r="C16" t="s">
        <v>146</v>
      </c>
      <c r="D16" s="7" t="s">
        <v>113</v>
      </c>
      <c r="H16" s="8">
        <v>3</v>
      </c>
      <c r="I16" s="5">
        <v>0</v>
      </c>
      <c r="J16" t="s">
        <v>139</v>
      </c>
      <c r="K16" t="s">
        <v>127</v>
      </c>
      <c r="L16" t="s">
        <v>134</v>
      </c>
      <c r="N16" s="9" t="s">
        <v>70</v>
      </c>
      <c r="O16" s="9">
        <v>20000000</v>
      </c>
      <c r="P16" s="9">
        <v>12500000</v>
      </c>
      <c r="Q16">
        <f t="shared" si="1"/>
        <v>1800000</v>
      </c>
      <c r="S16">
        <v>1500000</v>
      </c>
      <c r="T16" t="s">
        <v>136</v>
      </c>
      <c r="U16">
        <v>300000</v>
      </c>
    </row>
    <row r="17" spans="1:21" x14ac:dyDescent="0.25">
      <c r="A17" t="s">
        <v>131</v>
      </c>
      <c r="B17" s="3" t="s">
        <v>126</v>
      </c>
      <c r="C17" t="s">
        <v>146</v>
      </c>
      <c r="D17" s="7" t="s">
        <v>113</v>
      </c>
      <c r="H17" s="8">
        <v>4</v>
      </c>
      <c r="I17" s="5">
        <v>0</v>
      </c>
      <c r="J17" t="s">
        <v>139</v>
      </c>
      <c r="K17" t="s">
        <v>127</v>
      </c>
      <c r="L17" t="s">
        <v>134</v>
      </c>
      <c r="N17" s="9" t="s">
        <v>70</v>
      </c>
      <c r="O17" s="9">
        <v>20000000</v>
      </c>
      <c r="P17" s="9">
        <v>12500000</v>
      </c>
      <c r="Q17">
        <f t="shared" si="1"/>
        <v>1800000</v>
      </c>
      <c r="S17">
        <v>1500000</v>
      </c>
      <c r="T17" t="s">
        <v>137</v>
      </c>
      <c r="U17">
        <v>300000</v>
      </c>
    </row>
    <row r="18" spans="1:21" x14ac:dyDescent="0.25">
      <c r="A18" t="s">
        <v>132</v>
      </c>
      <c r="B18" s="3" t="s">
        <v>126</v>
      </c>
      <c r="C18" t="s">
        <v>146</v>
      </c>
      <c r="D18" s="7" t="s">
        <v>113</v>
      </c>
      <c r="H18" s="8">
        <v>5</v>
      </c>
      <c r="I18" s="5">
        <v>0</v>
      </c>
      <c r="J18" t="s">
        <v>139</v>
      </c>
      <c r="K18" t="s">
        <v>127</v>
      </c>
      <c r="L18" t="s">
        <v>134</v>
      </c>
      <c r="N18" s="9" t="s">
        <v>70</v>
      </c>
      <c r="O18" s="9">
        <v>20000000</v>
      </c>
      <c r="P18" s="9">
        <v>12500000</v>
      </c>
      <c r="Q18">
        <f t="shared" si="1"/>
        <v>1800000</v>
      </c>
      <c r="S18">
        <v>1500000</v>
      </c>
      <c r="T18" t="s">
        <v>138</v>
      </c>
      <c r="U18">
        <v>300000</v>
      </c>
    </row>
    <row r="19" spans="1:21" x14ac:dyDescent="0.25">
      <c r="A19" t="s">
        <v>133</v>
      </c>
      <c r="B19" s="3" t="s">
        <v>126</v>
      </c>
      <c r="C19" t="s">
        <v>146</v>
      </c>
      <c r="D19" s="7" t="s">
        <v>113</v>
      </c>
      <c r="H19" s="8">
        <v>6</v>
      </c>
      <c r="I19" s="5">
        <v>0</v>
      </c>
      <c r="J19" t="s">
        <v>139</v>
      </c>
      <c r="K19" t="s">
        <v>127</v>
      </c>
      <c r="L19" t="s">
        <v>134</v>
      </c>
      <c r="N19" s="9" t="s">
        <v>70</v>
      </c>
      <c r="O19" s="9">
        <v>20000000</v>
      </c>
      <c r="P19" s="9">
        <v>12500000</v>
      </c>
      <c r="Q19">
        <f t="shared" si="1"/>
        <v>1800000</v>
      </c>
      <c r="S19">
        <v>1500000</v>
      </c>
      <c r="T19" t="s">
        <v>150</v>
      </c>
      <c r="U19">
        <v>300000</v>
      </c>
    </row>
    <row r="20" spans="1:21" x14ac:dyDescent="0.25">
      <c r="A20" t="s">
        <v>140</v>
      </c>
      <c r="B20" s="3" t="s">
        <v>126</v>
      </c>
      <c r="C20" t="s">
        <v>147</v>
      </c>
      <c r="E20" s="3" t="s">
        <v>116</v>
      </c>
      <c r="F20" s="6">
        <v>45809.333333333336</v>
      </c>
      <c r="G20" s="6">
        <v>46174.833333333336</v>
      </c>
      <c r="H20" s="8">
        <v>1</v>
      </c>
      <c r="I20" s="5">
        <v>0</v>
      </c>
      <c r="J20" t="s">
        <v>149</v>
      </c>
      <c r="K20" t="s">
        <v>148</v>
      </c>
      <c r="L20" t="s">
        <v>103</v>
      </c>
      <c r="N20" s="9" t="s">
        <v>70</v>
      </c>
      <c r="O20" s="9">
        <v>20000000</v>
      </c>
      <c r="P20" s="9">
        <v>12500000</v>
      </c>
      <c r="Q20">
        <f t="shared" si="1"/>
        <v>1800000</v>
      </c>
      <c r="S20">
        <v>1500000</v>
      </c>
      <c r="T20" t="s">
        <v>71</v>
      </c>
      <c r="U20">
        <v>300000</v>
      </c>
    </row>
    <row r="21" spans="1:21" x14ac:dyDescent="0.25">
      <c r="A21" t="s">
        <v>141</v>
      </c>
      <c r="B21" s="3" t="s">
        <v>126</v>
      </c>
      <c r="C21" t="s">
        <v>147</v>
      </c>
      <c r="E21" s="3" t="s">
        <v>116</v>
      </c>
      <c r="F21" s="6">
        <v>45839.333333333336</v>
      </c>
      <c r="G21" s="6">
        <v>46174.833333333336</v>
      </c>
      <c r="H21" s="8">
        <v>2</v>
      </c>
      <c r="I21" s="5">
        <v>0</v>
      </c>
      <c r="J21" t="s">
        <v>149</v>
      </c>
      <c r="K21" t="s">
        <v>148</v>
      </c>
      <c r="L21" t="s">
        <v>103</v>
      </c>
      <c r="N21" s="9" t="s">
        <v>70</v>
      </c>
      <c r="O21" s="9">
        <v>20000000</v>
      </c>
      <c r="P21" s="9">
        <v>12500000</v>
      </c>
      <c r="Q21">
        <f t="shared" si="1"/>
        <v>1800000</v>
      </c>
      <c r="S21">
        <v>1500000</v>
      </c>
      <c r="T21" t="s">
        <v>135</v>
      </c>
      <c r="U21">
        <v>300000</v>
      </c>
    </row>
    <row r="22" spans="1:21" x14ac:dyDescent="0.25">
      <c r="A22" t="s">
        <v>142</v>
      </c>
      <c r="B22" s="3" t="s">
        <v>126</v>
      </c>
      <c r="C22" t="s">
        <v>147</v>
      </c>
      <c r="E22" s="3" t="s">
        <v>116</v>
      </c>
      <c r="F22" s="6">
        <v>45870.333333333336</v>
      </c>
      <c r="G22" s="6">
        <v>46174.833333333336</v>
      </c>
      <c r="H22" s="8">
        <v>3</v>
      </c>
      <c r="I22" s="5">
        <v>0</v>
      </c>
      <c r="J22" t="s">
        <v>149</v>
      </c>
      <c r="K22" t="s">
        <v>148</v>
      </c>
      <c r="L22" t="s">
        <v>103</v>
      </c>
      <c r="N22" s="9" t="s">
        <v>70</v>
      </c>
      <c r="O22" s="9">
        <v>20000000</v>
      </c>
      <c r="P22" s="9">
        <v>12500000</v>
      </c>
      <c r="Q22">
        <f t="shared" si="1"/>
        <v>1800000</v>
      </c>
      <c r="S22">
        <v>1500000</v>
      </c>
      <c r="T22" t="s">
        <v>136</v>
      </c>
      <c r="U22">
        <v>300000</v>
      </c>
    </row>
    <row r="23" spans="1:21" x14ac:dyDescent="0.25">
      <c r="A23" t="s">
        <v>143</v>
      </c>
      <c r="B23" s="3" t="s">
        <v>126</v>
      </c>
      <c r="C23" t="s">
        <v>147</v>
      </c>
      <c r="E23" s="3" t="s">
        <v>116</v>
      </c>
      <c r="F23" s="6">
        <v>45901.333333333336</v>
      </c>
      <c r="G23" s="6">
        <v>46174.833333333336</v>
      </c>
      <c r="H23" s="8">
        <v>4</v>
      </c>
      <c r="I23" s="5">
        <v>0</v>
      </c>
      <c r="J23" t="s">
        <v>149</v>
      </c>
      <c r="K23" t="s">
        <v>148</v>
      </c>
      <c r="L23" t="s">
        <v>103</v>
      </c>
      <c r="N23" s="9" t="s">
        <v>70</v>
      </c>
      <c r="O23" s="9">
        <v>20000000</v>
      </c>
      <c r="P23" s="9">
        <v>12500000</v>
      </c>
      <c r="Q23">
        <f t="shared" si="1"/>
        <v>1800000</v>
      </c>
      <c r="S23">
        <v>1500000</v>
      </c>
      <c r="T23" t="s">
        <v>137</v>
      </c>
      <c r="U23">
        <v>300000</v>
      </c>
    </row>
    <row r="24" spans="1:21" x14ac:dyDescent="0.25">
      <c r="A24" t="s">
        <v>144</v>
      </c>
      <c r="B24" s="3" t="s">
        <v>126</v>
      </c>
      <c r="C24" t="s">
        <v>147</v>
      </c>
      <c r="E24" s="3" t="s">
        <v>116</v>
      </c>
      <c r="F24" s="6">
        <v>45931.333333333336</v>
      </c>
      <c r="G24" s="6">
        <v>46174.833333333336</v>
      </c>
      <c r="H24" s="8">
        <v>5</v>
      </c>
      <c r="I24" s="5">
        <v>0</v>
      </c>
      <c r="J24" t="s">
        <v>149</v>
      </c>
      <c r="K24" t="s">
        <v>148</v>
      </c>
      <c r="L24" t="s">
        <v>103</v>
      </c>
      <c r="N24" s="9" t="s">
        <v>70</v>
      </c>
      <c r="O24" s="9">
        <v>20000000</v>
      </c>
      <c r="P24" s="9">
        <v>12500000</v>
      </c>
      <c r="Q24">
        <f t="shared" si="1"/>
        <v>1800000</v>
      </c>
      <c r="S24">
        <v>1500000</v>
      </c>
      <c r="T24" t="s">
        <v>138</v>
      </c>
      <c r="U24">
        <v>300000</v>
      </c>
    </row>
    <row r="25" spans="1:21" x14ac:dyDescent="0.25">
      <c r="A25" t="s">
        <v>145</v>
      </c>
      <c r="B25" s="3" t="s">
        <v>126</v>
      </c>
      <c r="C25" t="s">
        <v>147</v>
      </c>
      <c r="E25" s="3" t="s">
        <v>116</v>
      </c>
      <c r="F25" s="6">
        <v>45962.333333333336</v>
      </c>
      <c r="G25" s="6">
        <v>46174.833333333336</v>
      </c>
      <c r="H25" s="8">
        <v>6</v>
      </c>
      <c r="I25" s="5">
        <v>0</v>
      </c>
      <c r="J25" t="s">
        <v>149</v>
      </c>
      <c r="K25" t="s">
        <v>148</v>
      </c>
      <c r="L25" t="s">
        <v>103</v>
      </c>
      <c r="N25" s="9" t="s">
        <v>70</v>
      </c>
      <c r="O25" s="9">
        <v>20000000</v>
      </c>
      <c r="P25" s="9">
        <v>12500000</v>
      </c>
      <c r="Q25">
        <f t="shared" si="1"/>
        <v>1800000</v>
      </c>
      <c r="S25">
        <v>1500000</v>
      </c>
      <c r="T25" t="s">
        <v>150</v>
      </c>
      <c r="U25">
        <v>300000</v>
      </c>
    </row>
  </sheetData>
  <phoneticPr fontId="2" type="noConversion"/>
  <hyperlinks>
    <hyperlink ref="D14:D19" r:id="rId1" display="noreplay@gmail.com"/>
    <hyperlink ref="D8:D9" r:id="rId2" display="noreplay@gmail.com"/>
  </hyperlinks>
  <pageMargins left="0.7" right="0.7" top="0.75" bottom="0.75" header="0.3" footer="0.3"/>
  <pageSetup paperSize="9" orientation="portrait" r:id="rId3"/>
  <ignoredErrors>
    <ignoredError sqref="B2:B9 B10:B14 B15:B19 B20:B25 E10:E11 E20:E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Nunu Nurjaman</cp:lastModifiedBy>
  <cp:revision>2</cp:revision>
  <dcterms:created xsi:type="dcterms:W3CDTF">2020-10-14T11:29:47Z</dcterms:created>
  <dcterms:modified xsi:type="dcterms:W3CDTF">2026-10-23T02:33:04Z</dcterms:modified>
  <dc:language>en-US</dc:language>
</cp:coreProperties>
</file>